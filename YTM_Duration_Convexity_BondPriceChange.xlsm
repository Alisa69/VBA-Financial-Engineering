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5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4" i="1"/>
  <c r="F7" i="1"/>
  <c r="F6" i="1"/>
  <c r="F5" i="1"/>
</calcChain>
</file>

<file path=xl/connections.xml><?xml version="1.0" encoding="utf-8"?>
<connections xmlns="http://schemas.openxmlformats.org/spreadsheetml/2006/main">
  <connection id="1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  <connection id="2" keepAlive="1" name="Query - Table1 (2)" description="Connection to the 'Table1 (2)' query in the workbook." type="5" refreshedVersion="6" background="1">
    <dbPr connection="Provider=Microsoft.Mashup.OleDb.1;Data Source=$Workbook$;Location=&quot;Table1 (2)&quot;" command="SELECT * FROM [Table1 (2)]"/>
  </connection>
  <connection id="3" keepAlive="1" name="Query - Table2" description="Connection to the 'Table2' query in the workbook." type="5" refreshedVersion="6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<sst xmlns="http://schemas.openxmlformats.org/spreadsheetml/2006/main" count="16" uniqueCount="16">
  <si>
    <t>Bond Parameters</t>
  </si>
  <si>
    <t>Price:</t>
  </si>
  <si>
    <t>Par Value:</t>
  </si>
  <si>
    <t>Coupon Rate:</t>
  </si>
  <si>
    <t>Coupon Frequency:</t>
  </si>
  <si>
    <t>Maturity:</t>
  </si>
  <si>
    <t>Change in Rates:</t>
  </si>
  <si>
    <t>Results</t>
  </si>
  <si>
    <t>YTM:</t>
  </si>
  <si>
    <t>Macaulay Duration:</t>
  </si>
  <si>
    <t>Modified Duration:</t>
  </si>
  <si>
    <t>Convexity</t>
  </si>
  <si>
    <t>% Change in Price:</t>
  </si>
  <si>
    <t>Input</t>
  </si>
  <si>
    <t>Output</t>
  </si>
  <si>
    <t>Bond Risk Management Foundation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</si>
</sst>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16"/>
      <color theme="5" tint="0.79998168889431442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0" xfId="0" applyFill="1" applyAlignment="1">
      <alignment horizontal="center" vertical="justify" shrinkToFit="1"/>
    </xf>
    <xf numFmtId="0" fontId="1" fillId="2" borderId="0" xfId="0" applyFont="1" applyFill="1" applyAlignment="1">
      <alignment horizontal="center" vertical="justify" shrinkToFit="1"/>
    </xf>
    <xf numFmtId="10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3:C9" totalsRowShown="0">
  <tableColumns count="2">
    <tableColumn id="1" name="Bond Parameters"/>
    <tableColumn id="2" name="Inpu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E3:F8" totalsRowShown="0">
  <tableColumns count="2">
    <tableColumn id="1" name="Results"/>
    <tableColumn id="2" name="Outp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7"/>
  <sheetViews>
    <sheetView tabSelected="1" workbookViewId="0">
      <selection activeCell="F10" sqref="F10"/>
    </sheetView>
  </sheetViews>
  <sheetFormatPr defaultRowHeight="14.5" x14ac:dyDescent="0.35"/>
  <cols>
    <col min="2" max="2" width="19.36328125" customWidth="1"/>
    <col min="5" max="5" width="19.08984375" customWidth="1"/>
    <col min="7" max="7" width="18.1796875" customWidth="1"/>
  </cols>
  <sheetData>
    <row r="1" spans="2:6" ht="23" customHeight="1" x14ac:dyDescent="0.35">
      <c r="B1" s="3" t="s">
        <v>15</v>
      </c>
      <c r="C1" s="2"/>
      <c r="D1" s="2"/>
      <c r="E1" s="2"/>
      <c r="F1" s="2"/>
    </row>
    <row r="3" spans="2:6" x14ac:dyDescent="0.35">
      <c r="B3" t="s">
        <v>0</v>
      </c>
      <c r="C3" t="s">
        <v>13</v>
      </c>
      <c r="E3" t="s">
        <v>7</v>
      </c>
      <c r="F3" t="s">
        <v>14</v>
      </c>
    </row>
    <row r="4" spans="2:6" x14ac:dyDescent="0.35">
      <c r="B4" t="s">
        <v>1</v>
      </c>
      <c r="C4" s="6">
        <v>78</v>
      </c>
      <c r="E4" t="s">
        <v>8</v>
      </c>
      <c r="F4" s="4">
        <f>ytm(C4,C5,C6,C7,C8)</f>
        <v>9.6498565554893917E-2</v>
      </c>
    </row>
    <row r="5" spans="2:6" x14ac:dyDescent="0.35">
      <c r="B5" t="s">
        <v>2</v>
      </c>
      <c r="C5" s="6">
        <v>100</v>
      </c>
      <c r="E5" t="s">
        <v>9</v>
      </c>
      <c r="F5" s="5">
        <f>MacDuration(C4,C5,C6,C7,C8)</f>
        <v>4.5120332689848768</v>
      </c>
    </row>
    <row r="6" spans="2:6" x14ac:dyDescent="0.35">
      <c r="B6" t="s">
        <v>3</v>
      </c>
      <c r="C6" s="4">
        <v>0.04</v>
      </c>
      <c r="E6" t="s">
        <v>10</v>
      </c>
      <c r="F6" s="5">
        <f>modiDuration(C4,C5,C6,C7,C8)</f>
        <v>4.3043514010615578</v>
      </c>
    </row>
    <row r="7" spans="2:6" x14ac:dyDescent="0.35">
      <c r="B7" t="s">
        <v>4</v>
      </c>
      <c r="C7">
        <v>2</v>
      </c>
      <c r="E7" t="s">
        <v>11</v>
      </c>
      <c r="F7" s="5">
        <f>Convexity(C4,C5,C6,C7,C8)</f>
        <v>21.870244101140862</v>
      </c>
    </row>
    <row r="8" spans="2:6" x14ac:dyDescent="0.35">
      <c r="B8" t="s">
        <v>5</v>
      </c>
      <c r="C8">
        <v>5</v>
      </c>
      <c r="E8" t="s">
        <v>12</v>
      </c>
      <c r="F8" s="4">
        <f>pricechange(C4,C5,C6,C7,C8,C9)</f>
        <v>-4.1950001805558537E-2</v>
      </c>
    </row>
    <row r="9" spans="2:6" x14ac:dyDescent="0.35">
      <c r="B9" t="s">
        <v>6</v>
      </c>
      <c r="C9" s="4">
        <v>0.01</v>
      </c>
    </row>
    <row r="11" spans="2:6" x14ac:dyDescent="0.35">
      <c r="B11" s="1"/>
      <c r="C11" s="1"/>
    </row>
    <row r="12" spans="2:6" x14ac:dyDescent="0.35">
      <c r="B12" s="1"/>
      <c r="C12" s="1"/>
    </row>
    <row r="13" spans="2:6" x14ac:dyDescent="0.35">
      <c r="B13" s="1"/>
      <c r="C13" s="1"/>
    </row>
    <row r="14" spans="2:6" x14ac:dyDescent="0.35">
      <c r="B14" s="1"/>
      <c r="C14" s="1"/>
    </row>
    <row r="15" spans="2:6" x14ac:dyDescent="0.35">
      <c r="B15" s="1"/>
      <c r="C15" s="1"/>
    </row>
    <row r="16" spans="2:6" x14ac:dyDescent="0.35">
      <c r="B16" s="1"/>
      <c r="C16" s="1"/>
    </row>
    <row r="17" spans="2:3" x14ac:dyDescent="0.35">
      <c r="B17" s="1"/>
      <c r="C17" s="1"/>
    </row>
  </sheetData>
  <mergeCells count="1">
    <mergeCell ref="B1:F1"/>
  </mergeCell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3C483F-7D44-442D-9464-BE0A8AB286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2017-03-16T16:54:35Z</dcterms:modified>
</cp:coreProperties>
</file>